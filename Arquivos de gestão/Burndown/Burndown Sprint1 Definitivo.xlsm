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15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3BC627BC-07CA-4315-83C4-D294ED8D8357}" xr6:coauthVersionLast="43" xr6:coauthVersionMax="43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OFFSET(Atividades!$B$12,0,0,1,COUNT(Atividades!$B$12:$L$12))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2" i="1"/>
  <c r="B12" i="1"/>
  <c r="C12" i="1"/>
  <c r="B13" i="1"/>
  <c r="C13" i="1"/>
  <c r="D13" i="1"/>
  <c r="E13" i="1"/>
  <c r="F13" i="1"/>
  <c r="G13" i="1"/>
  <c r="H13" i="1"/>
  <c r="I13" i="1"/>
  <c r="J13" i="1"/>
  <c r="K13" i="1"/>
  <c r="L13" i="1"/>
  <c r="D12" i="1"/>
  <c r="E12" i="1"/>
  <c r="F12" i="1"/>
  <c r="G12" i="1"/>
  <c r="H12" i="1"/>
  <c r="I12" i="1"/>
  <c r="J12" i="1"/>
  <c r="K12" i="1"/>
  <c r="L12" i="1"/>
  <c r="D15" i="1"/>
</calcChain>
</file>

<file path=xl/sharedStrings.xml><?xml version="1.0" encoding="utf-8"?>
<sst xmlns="http://schemas.openxmlformats.org/spreadsheetml/2006/main" count="10" uniqueCount="10">
  <si>
    <t>Homem/hora</t>
  </si>
  <si>
    <t>Unity</t>
  </si>
  <si>
    <t>C#</t>
  </si>
  <si>
    <t>Reunião-Quarta</t>
  </si>
  <si>
    <t>Reunião-Sexta</t>
  </si>
  <si>
    <t>Atividade 8</t>
  </si>
  <si>
    <t>Atividade 9</t>
  </si>
  <si>
    <t>Atividade 10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</si>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</sst>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/>
    <xf numFmtId="0" fontId="0" fillId="0" borderId="8" xfId="0" applyBorder="1"/>
    <xf numFmtId="0" fontId="1" fillId="0" borderId="9" xfId="0" applyFont="1" applyBorder="1"/>
    <xf numFmtId="0" fontId="0" fillId="0" borderId="10" xfId="0" applyBorder="1"/>
    <xf numFmtId="0" fontId="1" fillId="0" borderId="11" xfId="0" applyFont="1" applyBorder="1" applyAlignment="1">
      <alignment horizontal="center"/>
    </xf>
    <xf numFmtId="16" fontId="1" fillId="0" borderId="12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Primeiro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03/abr</c:v>
                </c:pt>
                <c:pt idx="2">
                  <c:v>04/abr</c:v>
                </c:pt>
                <c:pt idx="3">
                  <c:v>05/abr</c:v>
                </c:pt>
                <c:pt idx="4">
                  <c:v>08/abr</c:v>
                </c:pt>
                <c:pt idx="5">
                  <c:v>09/abr</c:v>
                </c:pt>
                <c:pt idx="6">
                  <c:v>10/abr</c:v>
                </c:pt>
                <c:pt idx="7">
                  <c:v>11/abr</c:v>
                </c:pt>
                <c:pt idx="8">
                  <c:v>12/abr</c:v>
                </c:pt>
                <c:pt idx="9">
                  <c:v>15/abr</c:v>
                </c:pt>
                <c:pt idx="10">
                  <c:v>16/abr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80</c:v>
                </c:pt>
                <c:pt idx="1">
                  <c:v>76</c:v>
                </c:pt>
                <c:pt idx="2">
                  <c:v>70</c:v>
                </c:pt>
                <c:pt idx="3">
                  <c:v>68</c:v>
                </c:pt>
                <c:pt idx="4">
                  <c:v>66</c:v>
                </c:pt>
                <c:pt idx="5">
                  <c:v>62</c:v>
                </c:pt>
                <c:pt idx="6">
                  <c:v>58</c:v>
                </c:pt>
                <c:pt idx="7">
                  <c:v>52</c:v>
                </c:pt>
                <c:pt idx="8">
                  <c:v>29</c:v>
                </c:pt>
                <c:pt idx="9">
                  <c:v>14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03/abr</c:v>
                </c:pt>
                <c:pt idx="2">
                  <c:v>04/abr</c:v>
                </c:pt>
                <c:pt idx="3">
                  <c:v>05/abr</c:v>
                </c:pt>
                <c:pt idx="4">
                  <c:v>08/abr</c:v>
                </c:pt>
                <c:pt idx="5">
                  <c:v>09/abr</c:v>
                </c:pt>
                <c:pt idx="6">
                  <c:v>10/abr</c:v>
                </c:pt>
                <c:pt idx="7">
                  <c:v>11/abr</c:v>
                </c:pt>
                <c:pt idx="8">
                  <c:v>12/abr</c:v>
                </c:pt>
                <c:pt idx="9">
                  <c:v>15/abr</c:v>
                </c:pt>
                <c:pt idx="10">
                  <c:v>16/abr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48</c:v>
                </c:pt>
                <c:pt idx="5">
                  <c:v>40</c:v>
                </c:pt>
                <c:pt idx="6">
                  <c:v>32</c:v>
                </c:pt>
                <c:pt idx="7">
                  <c:v>24</c:v>
                </c:pt>
                <c:pt idx="8">
                  <c:v>16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03/abr</c:v>
                </c:pt>
                <c:pt idx="2">
                  <c:v>04/abr</c:v>
                </c:pt>
                <c:pt idx="3">
                  <c:v>05/abr</c:v>
                </c:pt>
                <c:pt idx="4">
                  <c:v>08/abr</c:v>
                </c:pt>
                <c:pt idx="5">
                  <c:v>09/abr</c:v>
                </c:pt>
                <c:pt idx="6">
                  <c:v>10/abr</c:v>
                </c:pt>
                <c:pt idx="7">
                  <c:v>11/abr</c:v>
                </c:pt>
                <c:pt idx="8">
                  <c:v>12/abr</c:v>
                </c:pt>
                <c:pt idx="9">
                  <c:v>15/abr</c:v>
                </c:pt>
                <c:pt idx="10">
                  <c:v>16/abr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80</c:v>
                </c:pt>
                <c:pt idx="1">
                  <c:v>76</c:v>
                </c:pt>
                <c:pt idx="2">
                  <c:v>70</c:v>
                </c:pt>
                <c:pt idx="3">
                  <c:v>68</c:v>
                </c:pt>
                <c:pt idx="4">
                  <c:v>66</c:v>
                </c:pt>
                <c:pt idx="5">
                  <c:v>62</c:v>
                </c:pt>
                <c:pt idx="6">
                  <c:v>58</c:v>
                </c:pt>
                <c:pt idx="7">
                  <c:v>52</c:v>
                </c:pt>
                <c:pt idx="8">
                  <c:v>29</c:v>
                </c:pt>
                <c:pt idx="9">
                  <c:v>14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03/abr</c:v>
                </c:pt>
                <c:pt idx="2">
                  <c:v>04/abr</c:v>
                </c:pt>
                <c:pt idx="3">
                  <c:v>05/abr</c:v>
                </c:pt>
                <c:pt idx="4">
                  <c:v>08/abr</c:v>
                </c:pt>
                <c:pt idx="5">
                  <c:v>09/abr</c:v>
                </c:pt>
                <c:pt idx="6">
                  <c:v>10/abr</c:v>
                </c:pt>
                <c:pt idx="7">
                  <c:v>11/abr</c:v>
                </c:pt>
                <c:pt idx="8">
                  <c:v>12/abr</c:v>
                </c:pt>
                <c:pt idx="9">
                  <c:v>15/abr</c:v>
                </c:pt>
                <c:pt idx="10">
                  <c:v>16/abr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48</c:v>
                </c:pt>
                <c:pt idx="5">
                  <c:v>40</c:v>
                </c:pt>
                <c:pt idx="6">
                  <c:v>32</c:v>
                </c:pt>
                <c:pt idx="7">
                  <c:v>24</c:v>
                </c:pt>
                <c:pt idx="8">
                  <c:v>16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03/abr</c:v>
                </c:pt>
                <c:pt idx="2">
                  <c:v>04/abr</c:v>
                </c:pt>
                <c:pt idx="3">
                  <c:v>05/abr</c:v>
                </c:pt>
                <c:pt idx="4">
                  <c:v>08/abr</c:v>
                </c:pt>
                <c:pt idx="5">
                  <c:v>09/abr</c:v>
                </c:pt>
                <c:pt idx="6">
                  <c:v>10/abr</c:v>
                </c:pt>
                <c:pt idx="7">
                  <c:v>11/abr</c:v>
                </c:pt>
                <c:pt idx="8">
                  <c:v>12/abr</c:v>
                </c:pt>
                <c:pt idx="9">
                  <c:v>15/abr</c:v>
                </c:pt>
                <c:pt idx="10">
                  <c:v>16/abr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1"/>
                <c:pt idx="0">
                  <c:v>80</c:v>
                </c:pt>
                <c:pt idx="1">
                  <c:v>76</c:v>
                </c:pt>
                <c:pt idx="2">
                  <c:v>70</c:v>
                </c:pt>
                <c:pt idx="3">
                  <c:v>68</c:v>
                </c:pt>
                <c:pt idx="4">
                  <c:v>66</c:v>
                </c:pt>
                <c:pt idx="5">
                  <c:v>62</c:v>
                </c:pt>
                <c:pt idx="6">
                  <c:v>58</c:v>
                </c:pt>
                <c:pt idx="7">
                  <c:v>52</c:v>
                </c:pt>
                <c:pt idx="8">
                  <c:v>29</c:v>
                </c:pt>
                <c:pt idx="9">
                  <c:v>14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11"/>
                <c:pt idx="0">
                  <c:v>Homem/hora</c:v>
                </c:pt>
                <c:pt idx="1">
                  <c:v>03/abr</c:v>
                </c:pt>
                <c:pt idx="2">
                  <c:v>04/abr</c:v>
                </c:pt>
                <c:pt idx="3">
                  <c:v>05/abr</c:v>
                </c:pt>
                <c:pt idx="4">
                  <c:v>08/abr</c:v>
                </c:pt>
                <c:pt idx="5">
                  <c:v>09/abr</c:v>
                </c:pt>
                <c:pt idx="6">
                  <c:v>10/abr</c:v>
                </c:pt>
                <c:pt idx="7">
                  <c:v>11/abr</c:v>
                </c:pt>
                <c:pt idx="8">
                  <c:v>12/abr</c:v>
                </c:pt>
                <c:pt idx="9">
                  <c:v>15/abr</c:v>
                </c:pt>
                <c:pt idx="10">
                  <c:v>16/abr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48</c:v>
                </c:pt>
                <c:pt idx="5">
                  <c:v>40</c:v>
                </c:pt>
                <c:pt idx="6">
                  <c:v>32</c:v>
                </c:pt>
                <c:pt idx="7">
                  <c:v>24</c:v>
                </c:pt>
                <c:pt idx="8">
                  <c:v>16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485775</xdr:colOff>
      <xdr:row>16</xdr:row>
      <xdr:rowOff>180975</xdr:rowOff>
    </xdr:from>
    <xdr:to>
      <xdr:col>16</xdr:col>
      <xdr:colOff>47625</xdr:colOff>
      <xdr:row>42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5"/>
  <sheetViews>
    <sheetView showGridLines="0" tabSelected="1" topLeftCell="A13" workbookViewId="0" xr3:uid="{AEA406A1-0E4B-5B11-9CD5-51D6E497D94C}">
      <selection activeCell="B2" sqref="B2"/>
    </sheetView>
  </sheetViews>
  <sheetFormatPr defaultRowHeight="15"/>
  <cols>
    <col min="1" max="1" width="15.7109375" customWidth="1"/>
    <col min="2" max="2" width="13.5703125" bestFit="1" customWidth="1"/>
  </cols>
  <sheetData>
    <row r="1" spans="1:14">
      <c r="B1" s="12" t="s">
        <v>0</v>
      </c>
      <c r="C1" s="13">
        <v>43558</v>
      </c>
      <c r="D1" s="13">
        <v>43559</v>
      </c>
      <c r="E1" s="13">
        <v>43560</v>
      </c>
      <c r="F1" s="13">
        <v>43563</v>
      </c>
      <c r="G1" s="13">
        <v>43564</v>
      </c>
      <c r="H1" s="13">
        <v>43565</v>
      </c>
      <c r="I1" s="13">
        <v>43566</v>
      </c>
      <c r="J1" s="13">
        <v>43567</v>
      </c>
      <c r="K1" s="13">
        <v>43570</v>
      </c>
      <c r="L1" s="13">
        <v>43571</v>
      </c>
    </row>
    <row r="2" spans="1:14">
      <c r="A2" s="5" t="s">
        <v>1</v>
      </c>
      <c r="B2" s="6">
        <v>35</v>
      </c>
      <c r="C2" s="6">
        <v>0</v>
      </c>
      <c r="D2" s="6">
        <v>2</v>
      </c>
      <c r="E2" s="6">
        <v>2</v>
      </c>
      <c r="F2" s="6">
        <v>2</v>
      </c>
      <c r="G2" s="6">
        <v>4</v>
      </c>
      <c r="H2" s="6">
        <v>2</v>
      </c>
      <c r="I2" s="6">
        <v>6</v>
      </c>
      <c r="J2" s="6">
        <v>8</v>
      </c>
      <c r="K2" s="6">
        <v>7</v>
      </c>
      <c r="L2" s="7">
        <v>2</v>
      </c>
      <c r="N2">
        <f>SUM(C2:L2)</f>
        <v>35</v>
      </c>
    </row>
    <row r="3" spans="1:14">
      <c r="A3" s="8" t="s">
        <v>2</v>
      </c>
      <c r="B3" s="1">
        <v>40</v>
      </c>
      <c r="C3" s="1">
        <v>2</v>
      </c>
      <c r="D3" s="1">
        <v>4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14</v>
      </c>
      <c r="K3" s="1">
        <v>8</v>
      </c>
      <c r="L3" s="9">
        <v>12</v>
      </c>
      <c r="N3">
        <f t="shared" ref="N3:N11" si="0">SUM(C3:L3)</f>
        <v>40</v>
      </c>
    </row>
    <row r="4" spans="1:14">
      <c r="A4" s="8" t="s">
        <v>3</v>
      </c>
      <c r="B4" s="1">
        <v>4</v>
      </c>
      <c r="C4" s="1">
        <v>2</v>
      </c>
      <c r="D4" s="1"/>
      <c r="E4" s="1"/>
      <c r="F4" s="1"/>
      <c r="G4" s="1"/>
      <c r="H4" s="1">
        <v>2</v>
      </c>
      <c r="I4" s="1"/>
      <c r="J4" s="1"/>
      <c r="K4" s="1"/>
      <c r="L4" s="9"/>
      <c r="N4">
        <f t="shared" si="0"/>
        <v>4</v>
      </c>
    </row>
    <row r="5" spans="1:14">
      <c r="A5" s="8" t="s">
        <v>4</v>
      </c>
      <c r="B5" s="1">
        <v>1</v>
      </c>
      <c r="C5" s="1"/>
      <c r="D5" s="1"/>
      <c r="E5" s="1"/>
      <c r="F5" s="1"/>
      <c r="G5" s="1"/>
      <c r="H5" s="1"/>
      <c r="I5" s="1"/>
      <c r="J5" s="1">
        <v>1</v>
      </c>
      <c r="K5" s="1"/>
      <c r="L5" s="9"/>
      <c r="N5">
        <f t="shared" si="0"/>
        <v>1</v>
      </c>
    </row>
    <row r="6" spans="1:14">
      <c r="A6" s="8"/>
      <c r="B6" s="1">
        <v>0</v>
      </c>
      <c r="C6" s="1"/>
      <c r="D6" s="1"/>
      <c r="E6" s="1"/>
      <c r="F6" s="1"/>
      <c r="G6" s="1"/>
      <c r="H6" s="1"/>
      <c r="I6" s="1"/>
      <c r="J6" s="1"/>
      <c r="K6" s="1"/>
      <c r="L6" s="9"/>
      <c r="N6">
        <f t="shared" si="0"/>
        <v>0</v>
      </c>
    </row>
    <row r="7" spans="1:14">
      <c r="A7" s="8"/>
      <c r="B7" s="1">
        <v>0</v>
      </c>
      <c r="C7" s="1"/>
      <c r="D7" s="1"/>
      <c r="E7" s="1"/>
      <c r="F7" s="1"/>
      <c r="G7" s="1"/>
      <c r="H7" s="1"/>
      <c r="I7" s="1"/>
      <c r="J7" s="1"/>
      <c r="K7" s="1"/>
      <c r="L7" s="9"/>
      <c r="N7">
        <f t="shared" si="0"/>
        <v>0</v>
      </c>
    </row>
    <row r="8" spans="1:14">
      <c r="A8" s="8"/>
      <c r="B8" s="1">
        <v>0</v>
      </c>
      <c r="C8" s="1"/>
      <c r="D8" s="1"/>
      <c r="E8" s="1"/>
      <c r="F8" s="1"/>
      <c r="G8" s="1"/>
      <c r="H8" s="1"/>
      <c r="I8" s="1"/>
      <c r="J8" s="1"/>
      <c r="K8" s="1"/>
      <c r="L8" s="9"/>
      <c r="N8">
        <f t="shared" si="0"/>
        <v>0</v>
      </c>
    </row>
    <row r="9" spans="1:14">
      <c r="A9" s="8" t="s">
        <v>5</v>
      </c>
      <c r="B9" s="1">
        <v>0</v>
      </c>
      <c r="C9" s="1"/>
      <c r="D9" s="1"/>
      <c r="E9" s="1"/>
      <c r="F9" s="1"/>
      <c r="G9" s="1"/>
      <c r="H9" s="1"/>
      <c r="I9" s="1"/>
      <c r="J9" s="1"/>
      <c r="K9" s="1"/>
      <c r="L9" s="9"/>
      <c r="N9">
        <f t="shared" si="0"/>
        <v>0</v>
      </c>
    </row>
    <row r="10" spans="1:14">
      <c r="A10" s="8" t="s">
        <v>6</v>
      </c>
      <c r="B10" s="1">
        <v>0</v>
      </c>
      <c r="C10" s="1"/>
      <c r="D10" s="1"/>
      <c r="E10" s="1"/>
      <c r="F10" s="1"/>
      <c r="G10" s="1"/>
      <c r="H10" s="1"/>
      <c r="I10" s="1"/>
      <c r="J10" s="1"/>
      <c r="K10" s="1"/>
      <c r="L10" s="9"/>
      <c r="N10">
        <f t="shared" si="0"/>
        <v>0</v>
      </c>
    </row>
    <row r="11" spans="1:14">
      <c r="A11" s="10" t="s">
        <v>7</v>
      </c>
      <c r="B11" s="2">
        <v>0</v>
      </c>
      <c r="C11" s="2"/>
      <c r="D11" s="2"/>
      <c r="E11" s="2"/>
      <c r="F11" s="2"/>
      <c r="G11" s="2"/>
      <c r="H11" s="2"/>
      <c r="I11" s="2"/>
      <c r="J11" s="2"/>
      <c r="K11" s="2"/>
      <c r="L11" s="11"/>
      <c r="N11">
        <f t="shared" si="0"/>
        <v>0</v>
      </c>
    </row>
    <row r="12" spans="1:14">
      <c r="A12" s="3" t="s">
        <v>8</v>
      </c>
      <c r="B12" s="4">
        <f>SUM($B$2:$B$11)</f>
        <v>80</v>
      </c>
      <c r="C12" s="4">
        <f t="shared" ref="C12:L12" si="1">IF(SUM(C2:C11)&gt;0,B12-SUM(C2:C11),"")</f>
        <v>76</v>
      </c>
      <c r="D12" s="4">
        <f t="shared" si="1"/>
        <v>70</v>
      </c>
      <c r="E12" s="4">
        <f t="shared" si="1"/>
        <v>68</v>
      </c>
      <c r="F12" s="4">
        <f t="shared" si="1"/>
        <v>66</v>
      </c>
      <c r="G12" s="4">
        <f t="shared" si="1"/>
        <v>62</v>
      </c>
      <c r="H12" s="4">
        <f t="shared" si="1"/>
        <v>58</v>
      </c>
      <c r="I12" s="4">
        <f t="shared" si="1"/>
        <v>52</v>
      </c>
      <c r="J12" s="4">
        <f t="shared" si="1"/>
        <v>29</v>
      </c>
      <c r="K12" s="4">
        <f t="shared" si="1"/>
        <v>14</v>
      </c>
      <c r="L12" s="4">
        <f t="shared" si="1"/>
        <v>0</v>
      </c>
    </row>
    <row r="13" spans="1:14">
      <c r="A13" s="3" t="s">
        <v>9</v>
      </c>
      <c r="B13" s="4">
        <f>SUM($B$2:$B$11)</f>
        <v>80</v>
      </c>
      <c r="C13" s="4">
        <f>B13-($B$13/COUNTA($C$1:$L$1))</f>
        <v>72</v>
      </c>
      <c r="D13" s="4">
        <f t="shared" ref="D13:L13" si="2">C13-($B$13/COUNTA($C$1:$L$1))</f>
        <v>64</v>
      </c>
      <c r="E13" s="4">
        <f t="shared" si="2"/>
        <v>56</v>
      </c>
      <c r="F13" s="4">
        <f t="shared" si="2"/>
        <v>48</v>
      </c>
      <c r="G13" s="4">
        <f t="shared" si="2"/>
        <v>40</v>
      </c>
      <c r="H13" s="4">
        <f t="shared" si="2"/>
        <v>32</v>
      </c>
      <c r="I13" s="4">
        <f t="shared" si="2"/>
        <v>24</v>
      </c>
      <c r="J13" s="4">
        <f t="shared" si="2"/>
        <v>16</v>
      </c>
      <c r="K13" s="4">
        <f t="shared" si="2"/>
        <v>8</v>
      </c>
      <c r="L13" s="4">
        <f t="shared" si="2"/>
        <v>0</v>
      </c>
    </row>
    <row r="15" spans="1:14">
      <c r="D15">
        <f ca="1">OFFSET($C$12:C12,0,COUNTA(D12:L12),1,1)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topLeftCell="A11" workbookViewId="0" xr3:uid="{958C4451-9541-5A59-BF78-D2F731DF1C81}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 xr3:uid="{842E5F09-E766-5B8D-85AF-A39847EA96FD}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2019-04-25T01:18:27Z</dcterms:created>
  <dcterms:modified xsi:type="dcterms:W3CDTF">2019-04-25T12:22:10Z</dcterms:modified>
  <cp:category/>
  <cp:contentStatus/>
</cp:coreProperties>
</file>